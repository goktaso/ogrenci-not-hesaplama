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lackBoxArdaNot\"/>
    </mc:Choice>
  </mc:AlternateContent>
  <xr:revisionPtr revIDLastSave="0" documentId="13_ncr:1_{2F0E812E-375E-49C5-ADBA-ED9A4C551654}" xr6:coauthVersionLast="47" xr6:coauthVersionMax="47" xr10:uidLastSave="{00000000-0000-0000-0000-000000000000}"/>
  <bookViews>
    <workbookView xWindow="-120" yWindow="-120" windowWidth="29040" windowHeight="16440" xr2:uid="{0F37BDD6-12B2-42B0-B880-6B088C881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H7" i="1"/>
  <c r="H2" i="1"/>
  <c r="H3" i="1"/>
  <c r="H11" i="1"/>
  <c r="H12" i="1"/>
  <c r="H4" i="1"/>
  <c r="H13" i="1"/>
  <c r="H5" i="1"/>
  <c r="H6" i="1"/>
  <c r="H8" i="1"/>
  <c r="H9" i="1"/>
  <c r="H10" i="1"/>
  <c r="H14" i="1" l="1"/>
  <c r="J14" i="1" s="1"/>
  <c r="K14" i="1" s="1"/>
</calcChain>
</file>

<file path=xl/sharedStrings.xml><?xml version="1.0" encoding="utf-8"?>
<sst xmlns="http://schemas.openxmlformats.org/spreadsheetml/2006/main" count="20" uniqueCount="20">
  <si>
    <t>Ders Adı</t>
  </si>
  <si>
    <t>Kredi</t>
  </si>
  <si>
    <t>Yazılı1</t>
  </si>
  <si>
    <t>Yazılı2</t>
  </si>
  <si>
    <t>Ortalama</t>
  </si>
  <si>
    <t>Bilişim Teknolojileri</t>
  </si>
  <si>
    <t>Din Kültürü ve Ahlak Bilgisi</t>
  </si>
  <si>
    <t>Fen Bilimleri</t>
  </si>
  <si>
    <t>Matematik</t>
  </si>
  <si>
    <t>Seçmeli Yabancı Dil(Almanca)</t>
  </si>
  <si>
    <t>Seçmeli kültür Medeniyet</t>
  </si>
  <si>
    <t>Sosyal bilgiler</t>
  </si>
  <si>
    <t>Türkçe</t>
  </si>
  <si>
    <t>Yabancı Dil</t>
  </si>
  <si>
    <t>Beden Eğitimi ve Spor</t>
  </si>
  <si>
    <t>Dersiç.Et1</t>
  </si>
  <si>
    <t>Dersiç.Et2</t>
  </si>
  <si>
    <t>Dersiç.Et3</t>
  </si>
  <si>
    <t>Görsel sanatlar</t>
  </si>
  <si>
    <t>Müzik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</si>
</sst>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_-* #,##0_-;\-* #,##0_-;_-* &quot;-&quot;??_-;_-@_-"/>
  </numFmts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0" xfId="0" applyNumberFormat="1" applyFont="1"/>
    <xf numFmtId="165" fontId="0" fillId="0" borderId="0" xfId="1" applyNumberFormat="1" applyFont="1"/>
    <xf numFmtId="0" fontId="0" fillId="2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8CA0-F500-4910-A42E-6179E66A64DD}">
  <dimension ref="A1:L14"/>
  <sheetViews>
    <sheetView tabSelected="1" workbookViewId="0">
      <selection activeCell="D2" sqref="D2:E14"/>
    </sheetView>
  </sheetViews>
  <sheetFormatPr defaultRowHeight="15" x14ac:dyDescent="0.25"/>
  <cols>
    <col min="1" max="1" width="27.42578125" bestFit="1" customWidth="1"/>
    <col min="3" max="4" width="6.28515625" bestFit="1" customWidth="1"/>
    <col min="5" max="7" width="9.7109375" bestFit="1" customWidth="1"/>
    <col min="8" max="10" width="8.85546875" customWidth="1"/>
    <col min="11" max="11" width="15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17</v>
      </c>
      <c r="H1" s="1" t="s">
        <v>4</v>
      </c>
    </row>
    <row r="2" spans="1:12" x14ac:dyDescent="0.25">
      <c r="A2" s="5" t="s">
        <v>5</v>
      </c>
      <c r="B2" s="1">
        <v>2</v>
      </c>
      <c r="C2" s="2">
        <v>100</v>
      </c>
      <c r="D2" s="2"/>
      <c r="E2" s="2"/>
      <c r="F2" s="2"/>
      <c r="G2" s="2"/>
      <c r="H2" s="1">
        <f>IF(AND(COUNTA($C2:$D2)=1,COUNTA($E2:$G2)=0),$B2*$C2,
IF(AND(COUNTA($C2:$D2)&gt;=1,COUNTA($E2:$G2)=1),AVERAGE(C2,D2,E2)*B2,
IF(AND(COUNTA($C2:$D2)&gt;=1,COUNTA($E2:$G2)=2),AVERAGE(C2,D2,AVERAGE(E2,F2))*B2,
IF(AND(COUNTA($C2:$D2)&gt;=1,COUNTA($E2:$G2)=3),AVERAGE(C2,D2,AVERAGE(E2:G2))*B2,
IF(AND(COUNTA($C2:$D2)=2,COUNTA($E2:$G2)=0),$B2*AVERAGE($C2,$D2),
IF(AND(COUNTA($C2:$D2)&gt;=2,COUNTA($E2:$G2)=1),AVERAGE($C2,$D2,E2)*B2,
IF(AND(COUNTA($C2:$D2)&gt;=2,COUNTA($E2:$G2)=2),AVERAGE($C2,$D2,AVERAGE(E2,F2))*B2,
IF(AND(COUNTA($C2:$D2)&gt;=2,COUNTA($E2:$G2)=3),AVERAGE($C2,$D2,AVERAGE(E2,G2))*B2,
))))))))</f>
        <v>200</v>
      </c>
      <c r="L2" s="4"/>
    </row>
    <row r="3" spans="1:12" x14ac:dyDescent="0.25">
      <c r="A3" s="5" t="s">
        <v>6</v>
      </c>
      <c r="B3" s="1">
        <v>2</v>
      </c>
      <c r="C3" s="2">
        <v>100</v>
      </c>
      <c r="D3" s="2"/>
      <c r="E3" s="2"/>
      <c r="F3" s="2"/>
      <c r="G3" s="2"/>
      <c r="H3" s="1">
        <f>IF(AND(COUNTA($C3:$D3)=1,COUNTA($E3:$G3)=0),$B3*$C3,
IF(AND(COUNTA($C3:$D3)&gt;=1,COUNTA($E3:$G3)=1),AVERAGE(C3,D3,E3)*B3,
IF(AND(COUNTA($C3:$D3)&gt;=1,COUNTA($E3:$G3)=2),AVERAGE(C3,D3,AVERAGE(E3,F3))*B3,
IF(AND(COUNTA($C3:$D3)&gt;=1,COUNTA($E3:$G3)=3),AVERAGE(C3,D3,AVERAGE(E3:G3))*B3,
IF(AND(COUNTA($C3:$D3)=2,COUNTA($E3:$G3)=0),$B3*AVERAGE($C3,$D3),
IF(AND(COUNTA($C3:$D3)&gt;=2,COUNTA($E3:$G3)=1),AVERAGE($C3,$D3,E3)*B3,
IF(AND(COUNTA($C3:$D3)&gt;=2,COUNTA($E3:$G3)=2),AVERAGE($C3,$D3,AVERAGE(E3,F3))*B3,
IF(AND(COUNTA($C3:$D3)&gt;=2,COUNTA($E3:$G3)=3),AVERAGE($C3,$D3,AVERAGE(E3,G3))*B3,
))))))))</f>
        <v>200</v>
      </c>
    </row>
    <row r="4" spans="1:12" x14ac:dyDescent="0.25">
      <c r="A4" s="5" t="s">
        <v>8</v>
      </c>
      <c r="B4" s="1">
        <v>5</v>
      </c>
      <c r="C4" s="2">
        <v>27</v>
      </c>
      <c r="D4" s="2"/>
      <c r="E4" s="2"/>
      <c r="F4" s="2"/>
      <c r="G4" s="2"/>
      <c r="H4" s="1">
        <f>IF(AND(COUNTA($C4:$D4)=1,COUNTA($E4:$G4)=0),$B4*$C4,
IF(AND(COUNTA($C4:$D4)&gt;=1,COUNTA($E4:$G4)=1),AVERAGE(C4,D4,E4)*B4,
IF(AND(COUNTA($C4:$D4)&gt;=1,COUNTA($E4:$G4)=2),AVERAGE(C4,D4,AVERAGE(E4,F4))*B4,
IF(AND(COUNTA($C4:$D4)&gt;=1,COUNTA($E4:$G4)=3),AVERAGE(C4,D4,AVERAGE(E4:G4))*B4,
IF(AND(COUNTA($C4:$D4)=2,COUNTA($E4:$G4)=0),$B4*AVERAGE($C4,$D4),
IF(AND(COUNTA($C4:$D4)&gt;=2,COUNTA($E4:$G4)=1),AVERAGE($C4,$D4,E4)*B4,
IF(AND(COUNTA($C4:$D4)&gt;=2,COUNTA($E4:$G4)=2),AVERAGE($C4,$D4,AVERAGE(E4,F4))*B4,
IF(AND(COUNTA($C4:$D4)&gt;=2,COUNTA($E4:$G4)=3),AVERAGE($C4,$D4,AVERAGE(E4,G4))*B4,
))))))))</f>
        <v>135</v>
      </c>
    </row>
    <row r="5" spans="1:12" x14ac:dyDescent="0.25">
      <c r="A5" s="5" t="s">
        <v>9</v>
      </c>
      <c r="B5" s="1">
        <v>2</v>
      </c>
      <c r="C5" s="2">
        <v>98.5</v>
      </c>
      <c r="D5" s="1"/>
      <c r="E5" s="1"/>
      <c r="F5" s="1"/>
      <c r="G5" s="1"/>
      <c r="H5" s="1">
        <f>IF(AND(COUNTA($C5:$D5)=1,COUNTA($E5:$G5)=0),$B5*$C5,
IF(AND(COUNTA($C5:$D5)&gt;=1,COUNTA($E5:$G5)=1),AVERAGE(C5,D5,E5)*B5,
IF(AND(COUNTA($C5:$D5)&gt;=1,COUNTA($E5:$G5)=2),AVERAGE(C5,D5,AVERAGE(E5,F5))*B5,
IF(AND(COUNTA($C5:$D5)&gt;=1,COUNTA($E5:$G5)=3),AVERAGE(C5,D5,AVERAGE(E5:G5))*B5,
IF(AND(COUNTA($C5:$D5)=2,COUNTA($E5:$G5)=0),$B5*AVERAGE($C5,$D5),
IF(AND(COUNTA($C5:$D5)&gt;=2,COUNTA($E5:$G5)=1),AVERAGE($C5,$D5,E5)*B5,
IF(AND(COUNTA($C5:$D5)&gt;=2,COUNTA($E5:$G5)=2),AVERAGE($C5,$D5,AVERAGE(E5,F5))*B5,
IF(AND(COUNTA($C5:$D5)&gt;=2,COUNTA($E5:$G5)=3),AVERAGE($C5,$D5,AVERAGE(E5,G5))*B5,
))))))))</f>
        <v>197</v>
      </c>
    </row>
    <row r="6" spans="1:12" x14ac:dyDescent="0.25">
      <c r="A6" s="1" t="s">
        <v>10</v>
      </c>
      <c r="B6" s="1">
        <v>2</v>
      </c>
      <c r="C6" s="2">
        <v>100</v>
      </c>
      <c r="D6" s="2"/>
      <c r="E6" s="2"/>
      <c r="F6" s="2"/>
      <c r="G6" s="2"/>
      <c r="H6" s="1">
        <f>IF(AND(COUNTA($C6:$D6)=1,COUNTA($E6:$G6)=0),$B6*$C6,
IF(AND(COUNTA($C6:$D6)&gt;=1,COUNTA($E6:$G6)=1),AVERAGE(C6,D6,E6)*B6,
IF(AND(COUNTA($C6:$D6)&gt;=1,COUNTA($E6:$G6)=2),AVERAGE(C6,D6,AVERAGE(E6,F6))*B6,
IF(AND(COUNTA($C6:$D6)&gt;=1,COUNTA($E6:$G6)=3),AVERAGE(C6,D6,AVERAGE(E6:G6))*B6,
IF(AND(COUNTA($C6:$D6)=2,COUNTA($E6:$G6)=0),$B6*AVERAGE($C6,$D6),
IF(AND(COUNTA($C6:$D6)&gt;=2,COUNTA($E6:$G6)=1),AVERAGE($C6,$D6,E6)*B6,
IF(AND(COUNTA($C6:$D6)&gt;=2,COUNTA($E6:$G6)=2),AVERAGE($C6,$D6,AVERAGE(E6,F6))*B6,
IF(AND(COUNTA($C6:$D6)&gt;=2,COUNTA($E6:$G6)=3),AVERAGE($C6,$D6,AVERAGE(E6,G6))*B6,
))))))))</f>
        <v>200</v>
      </c>
    </row>
    <row r="7" spans="1:12" x14ac:dyDescent="0.25">
      <c r="A7" s="1" t="s">
        <v>11</v>
      </c>
      <c r="B7" s="1">
        <v>3</v>
      </c>
      <c r="C7" s="2">
        <v>100</v>
      </c>
      <c r="D7" s="2"/>
      <c r="E7" s="2"/>
      <c r="F7" s="2"/>
      <c r="G7" s="2"/>
      <c r="H7" s="1">
        <f>IF(AND(COUNTA($C7:$D7)=1,COUNTA($E7:$G7)=0),$B7*$C7,
IF(AND(COUNTA($C7:$D7)&gt;=1,COUNTA($E7:$G7)=1),AVERAGE(C7,D7,E7)*B7,
IF(AND(COUNTA($C7:$D7)&gt;=1,COUNTA($E7:$G7)=2),AVERAGE(C7,D7,AVERAGE(E7,F7))*B7,
IF(AND(COUNTA($C7:$D7)&gt;=1,COUNTA($E7:$G7)=3),AVERAGE(C7,D7,AVERAGE(E7:G7))*B7,
IF(AND(COUNTA($C7:$D7)=2,COUNTA($E7:$G7)=0),$B7*AVERAGE($C7,$D7),
IF(AND(COUNTA($C7:$D7)&gt;=2,COUNTA($E7:$G7)=1),AVERAGE($C7,$D7,E7)*B7,
IF(AND(COUNTA($C7:$D7)&gt;=2,COUNTA($E7:$G7)=2),AVERAGE($C7,$D7,AVERAGE(E7,F7))*B7,
IF(AND(COUNTA($C7:$D7)&gt;=2,COUNTA($E7:$G7)=3),AVERAGE($C7,$D7,AVERAGE(E7,G7))*B7,
))))))))</f>
        <v>300</v>
      </c>
    </row>
    <row r="8" spans="1:12" x14ac:dyDescent="0.25">
      <c r="A8" s="1" t="s">
        <v>12</v>
      </c>
      <c r="B8" s="1">
        <v>6</v>
      </c>
      <c r="C8" s="2">
        <v>64</v>
      </c>
      <c r="D8" s="2"/>
      <c r="E8" s="2"/>
      <c r="F8" s="2"/>
      <c r="G8" s="2"/>
      <c r="H8" s="1">
        <f>IF(AND(COUNTA($C8:$D8)=1,COUNTA($E8:$G8)=0),$B8*$C8,
IF(AND(COUNTA($C8:$D8)&gt;=1,COUNTA($E8:$G8)=1),AVERAGE(C8,D8,E8)*B8,
IF(AND(COUNTA($C8:$D8)&gt;=1,COUNTA($E8:$G8)=2),AVERAGE(C8,D8,AVERAGE(E8,F8))*B8,
IF(AND(COUNTA($C8:$D8)&gt;=1,COUNTA($E8:$G8)=3),AVERAGE(C8,D8,AVERAGE(E8:G8))*B8,
IF(AND(COUNTA($C8:$D8)=2,COUNTA($E8:$G8)=0),$B8*AVERAGE($C8,$D8),
IF(AND(COUNTA($C8:$D8)&gt;=2,COUNTA($E8:$G8)=1),AVERAGE($C8,$D8,E8)*B8,
IF(AND(COUNTA($C8:$D8)&gt;=2,COUNTA($E8:$G8)=2),AVERAGE($C8,$D8,AVERAGE(E8,F8))*B8,
IF(AND(COUNTA($C8:$D8)&gt;=2,COUNTA($E8:$G8)=3),AVERAGE($C8,$D8,AVERAGE(E8,G8))*B8,
))))))))</f>
        <v>384</v>
      </c>
    </row>
    <row r="9" spans="1:12" x14ac:dyDescent="0.25">
      <c r="A9" s="1" t="s">
        <v>13</v>
      </c>
      <c r="B9" s="1">
        <v>3</v>
      </c>
      <c r="C9" s="2">
        <v>88.5</v>
      </c>
      <c r="D9" s="1"/>
      <c r="E9" s="1"/>
      <c r="F9" s="1"/>
      <c r="G9" s="1"/>
      <c r="H9" s="1">
        <f>IF(AND(COUNTA($C9:$D9)=1,COUNTA($E9:$G9)=0),$B9*$C9,
IF(AND(COUNTA($C9:$D9)&gt;=1,COUNTA($E9:$G9)=1),AVERAGE(C9,D9,E9)*B9,
IF(AND(COUNTA($C9:$D9)&gt;=1,COUNTA($E9:$G9)=2),AVERAGE(C9,D9,AVERAGE(E9,F9))*B9,
IF(AND(COUNTA($C9:$D9)&gt;=1,COUNTA($E9:$G9)=3),AVERAGE(C9,D9,AVERAGE(E9:G9))*B9,
IF(AND(COUNTA($C9:$D9)=2,COUNTA($E9:$G9)=0),$B9*AVERAGE($C9,$D9),
IF(AND(COUNTA($C9:$D9)&gt;=2,COUNTA($E9:$G9)=1),AVERAGE($C9,$D9,E9)*B9,
IF(AND(COUNTA($C9:$D9)&gt;=2,COUNTA($E9:$G9)=2),AVERAGE($C9,$D9,AVERAGE(E9,F9))*B9,
IF(AND(COUNTA($C9:$D9)&gt;=2,COUNTA($E9:$G9)=3),AVERAGE($C9,$D9,AVERAGE(E9,G9))*B9,
))))))))</f>
        <v>265.5</v>
      </c>
    </row>
    <row r="10" spans="1:12" x14ac:dyDescent="0.25">
      <c r="A10" s="1" t="s">
        <v>14</v>
      </c>
      <c r="B10" s="1">
        <v>2</v>
      </c>
      <c r="C10" s="1"/>
      <c r="D10" s="1"/>
      <c r="E10" s="1"/>
      <c r="F10" s="1"/>
      <c r="G10" s="1"/>
      <c r="H10" s="1">
        <f>IF(AND(COUNTA($C10:$D10)=1,COUNTA($E10:$G10)=0),$B10*$C10,
IF(AND(COUNTA($C10:$D10)&gt;=1,COUNTA($E10:$G10)=1),AVERAGE(C10,D10,E10)*B10,
IF(AND(COUNTA($C10:$D10)&gt;=1,COUNTA($E10:$G10)=2),AVERAGE(C10,D10,AVERAGE(E10,F10))*B10,
IF(AND(COUNTA($C10:$D10)&gt;=1,COUNTA($E10:$G10)=3),AVERAGE(C10,D10,AVERAGE(E10:G10))*B10,
IF(AND(COUNTA($C10:$D10)=2,COUNTA($E10:$G10)=0),$B10*AVERAGE($C10,$D10),
IF(AND(COUNTA($C10:$D10)&gt;=2,COUNTA($E10:$G10)=1),AVERAGE($C10,$D10,E10)*B10,
IF(AND(COUNTA($C10:$D10)&gt;=2,COUNTA($E10:$G10)=2),AVERAGE($C10,$D10,AVERAGE(E10,F10))*B10,
IF(AND(COUNTA($C10:$D10)&gt;=2,COUNTA($E10:$G10)=3),AVERAGE($C10,$D10,AVERAGE(E10,G10))*B10,
))))))))</f>
        <v>0</v>
      </c>
    </row>
    <row r="11" spans="1:12" x14ac:dyDescent="0.25">
      <c r="A11" s="1" t="s">
        <v>7</v>
      </c>
      <c r="B11" s="1">
        <v>4</v>
      </c>
      <c r="C11" s="2"/>
      <c r="D11" s="2"/>
      <c r="E11" s="2"/>
      <c r="F11" s="2"/>
      <c r="G11" s="2"/>
      <c r="H11" s="1">
        <f t="shared" ref="H11:H13" si="0">IF(AND(COUNTA($C11:$D11)=1,COUNTA($E11:$G11)=0),$B11*$C11,
IF(AND(COUNTA($C11:$D11)&gt;=1,COUNTA($E11:$G11)=1),AVERAGE(C11,D11,E11)*B11,
IF(AND(COUNTA($C11:$D11)&gt;=1,COUNTA($E11:$G11)=2),AVERAGE(C11,D11,AVERAGE(E11,F11))*B11,
IF(AND(COUNTA($C11:$D11)&gt;=1,COUNTA($E11:$G11)=3),AVERAGE(C11,D11,AVERAGE(E11:G11))*B11,
IF(AND(COUNTA($C11:$D11)=2,COUNTA($E11:$G11)=0),$B11*AVERAGE($C11,$D11),
IF(AND(COUNTA($C11:$D11)&gt;=2,COUNTA($E11:$G11)=1),AVERAGE($C11,$D11,E11)*B11,
IF(AND(COUNTA($C11:$D11)&gt;=2,COUNTA($E11:$G11)=2),AVERAGE($C11,$D11,AVERAGE(E11,F11))*B11,
IF(AND(COUNTA($C11:$D11)&gt;=2,COUNTA($E11:$G11)=3),AVERAGE($C11,$D11,AVERAGE(E11,G11))*B11,
))))))))</f>
        <v>0</v>
      </c>
    </row>
    <row r="12" spans="1:12" x14ac:dyDescent="0.25">
      <c r="A12" s="1" t="s">
        <v>18</v>
      </c>
      <c r="B12" s="1">
        <v>1</v>
      </c>
      <c r="C12" s="2"/>
      <c r="D12" s="2"/>
      <c r="E12" s="2"/>
      <c r="F12" s="2"/>
      <c r="G12" s="2"/>
      <c r="H12" s="1">
        <f t="shared" si="0"/>
        <v>0</v>
      </c>
    </row>
    <row r="13" spans="1:12" x14ac:dyDescent="0.25">
      <c r="A13" s="1" t="s">
        <v>19</v>
      </c>
      <c r="B13" s="1">
        <v>1</v>
      </c>
      <c r="C13" s="2"/>
      <c r="D13" s="2"/>
      <c r="E13" s="2"/>
      <c r="F13" s="2"/>
      <c r="G13" s="2"/>
      <c r="H13" s="1">
        <f t="shared" si="0"/>
        <v>0</v>
      </c>
    </row>
    <row r="14" spans="1:12" x14ac:dyDescent="0.25">
      <c r="A14" s="1"/>
      <c r="B14" s="2">
        <f>SUMIFS(B2:B13,C2:C13,"&gt;0")</f>
        <v>25</v>
      </c>
      <c r="C14" s="1"/>
      <c r="D14" s="1"/>
      <c r="E14" s="1"/>
      <c r="F14" s="1"/>
      <c r="G14" s="1"/>
      <c r="H14" s="2">
        <f>SUM(H2:H13)</f>
        <v>1881.5</v>
      </c>
      <c r="J14" s="3">
        <f>$H14/$B14</f>
        <v>75.260000000000005</v>
      </c>
      <c r="K14" t="str">
        <f>IF(J14&lt;70,"Geçtiniz",IF(J14&lt;85,"Teşekkür Aldınız",IF(J14&gt;=85,"Takdir Aldınız")))</f>
        <v>Teşekkür Aldınız</v>
      </c>
    </row>
  </sheetData>
  <phoneticPr fontId="2" type="noConversion"/>
  <conditionalFormatting sqref="J14">
    <cfRule type="colorScale" priority="1">
      <colorScale>
        <cfvo type="num" val="70"/>
        <cfvo type="num" val="85"/>
        <cfvo type="max"/>
        <color rgb="FFFF0000"/>
        <color rgb="FFFFFF00"/>
        <color rgb="FF00B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Özay Göktaş</dc:creator>
  <cp:lastModifiedBy>Office</cp:lastModifiedBy>
  <dcterms:created xsi:type="dcterms:W3CDTF">2026-01-02T12:03:00Z</dcterms:created>
  <dcterms:modified xsi:type="dcterms:W3CDTF">2026-05-18T19:59:23Z</dcterms:modified>
</cp:coreProperties>
</file>